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예산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<sst xmlns="http://schemas.openxmlformats.org/spreadsheetml/2006/main" count="53" uniqueCount="49">
  <si>
    <t xml:space="preserve">바꿈 등하원 알림톡 — 예산안</t>
  </si>
  <si>
    <r>
      <rPr>
        <sz val="9"/>
        <color rgb="FF64748B"/>
        <rFont val="Noto Sans CJK SC"/>
        <family val="2"/>
      </rPr>
      <t xml:space="preserve">파란색 숫자만 바꾸면 아래 비용이 전부 자동으로 다시 계산됩니다</t>
    </r>
    <r>
      <rPr>
        <sz val="9"/>
        <color rgb="FF64748B"/>
        <rFont val="Malgun Gothic"/>
        <family val="0"/>
        <charset val="1"/>
      </rPr>
      <t xml:space="preserve">.</t>
    </r>
  </si>
  <si>
    <t xml:space="preserve">📌 한눈에 보기</t>
  </si>
  <si>
    <r>
      <rPr>
        <b val="true"/>
        <sz val="10"/>
        <color rgb="FF000000"/>
        <rFont val="Noto Sans CJK SC"/>
        <family val="2"/>
      </rPr>
      <t xml:space="preserve">예상 월 비용 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부가세 포함</t>
    </r>
    <r>
      <rPr>
        <b val="true"/>
        <sz val="10"/>
        <color rgb="FF000000"/>
        <rFont val="Malgun Gothic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</si>
  <si>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예상 연 비용 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부가세 포함</t>
    </r>
    <r>
      <rPr>
        <b val="true"/>
        <sz val="10"/>
        <color rgb="FF000000"/>
        <rFont val="Malgun Gothic"/>
        <family val="0"/>
        <charset val="1"/>
      </rPr>
      <t xml:space="preserve">)</t>
    </r>
  </si>
  <si>
    <r>
      <rPr>
        <b val="true"/>
        <sz val="10"/>
        <color rgb="FF334155"/>
        <rFont val="Noto Sans CJK SC"/>
        <family val="2"/>
      </rPr>
      <t xml:space="preserve">① 기본 가정  </t>
    </r>
    <r>
      <rPr>
        <b val="true"/>
        <sz val="10"/>
        <color rgb="FF334155"/>
        <rFont val="Malgun Gothic"/>
        <family val="0"/>
        <charset val="1"/>
      </rPr>
      <t xml:space="preserve">(</t>
    </r>
    <r>
      <rPr>
        <b val="true"/>
        <sz val="10"/>
        <color rgb="FF334155"/>
        <rFont val="Noto Sans CJK SC"/>
        <family val="2"/>
      </rPr>
      <t xml:space="preserve">파란 숫자만 수정하세요</t>
    </r>
    <r>
      <rPr>
        <b val="true"/>
        <sz val="10"/>
        <color rgb="FF334155"/>
        <rFont val="Malgun Gothic"/>
        <family val="0"/>
        <charset val="1"/>
      </rPr>
      <t xml:space="preserve">)</t>
    </r>
  </si>
  <si>
    <t xml:space="preserve">하루 등하원 찍는 학생 수</t>
  </si>
  <si>
    <t xml:space="preserve">명</t>
  </si>
  <si>
    <r>
      <rPr>
        <sz val="10"/>
        <color rgb="FF000000"/>
        <rFont val="Malgun Gothic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인당 하루 발송 횟수 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등원</t>
    </r>
    <r>
      <rPr>
        <sz val="10"/>
        <color rgb="FF000000"/>
        <rFont val="Malgun Gothic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하원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</si>
  <si>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회</t>
  </si>
  <si>
    <t xml:space="preserve">월 운영일수</t>
  </si>
  <si>
    <t xml:space="preserve">일</t>
  </si>
  <si>
    <r>
      <rPr>
        <sz val="10"/>
        <color rgb="FF000000"/>
        <rFont val="Noto Sans CJK SC"/>
        <family val="2"/>
      </rPr>
      <t xml:space="preserve">알림톡 단가 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부가세 별도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</si>
  <si>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솔라피 기준</t>
  </si>
  <si>
    <t xml:space="preserve">부가세율</t>
  </si>
  <si>
    <t xml:space="preserve">② 월 운영비</t>
  </si>
  <si>
    <t xml:space="preserve">하루 발송 건수</t>
  </si>
  <si>
    <t xml:space="preserve">건</t>
  </si>
  <si>
    <t xml:space="preserve">월 발송 건수</t>
  </si>
  <si>
    <r>
      <rPr>
        <sz val="10"/>
        <color rgb="FF000000"/>
        <rFont val="Noto Sans CJK SC"/>
        <family val="2"/>
      </rPr>
      <t xml:space="preserve">월 발송비 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부가세 별도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</si>
  <si>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부가세</t>
  </si>
  <si>
    <r>
      <rPr>
        <b val="true"/>
        <sz val="10"/>
        <color rgb="FF000000"/>
        <rFont val="Noto Sans CJK SC"/>
        <family val="2"/>
      </rPr>
      <t xml:space="preserve">월 발송비 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부가세 포함</t>
    </r>
    <r>
      <rPr>
        <b val="true"/>
        <sz val="10"/>
        <color rgb="FF000000"/>
        <rFont val="Malgun Gothic"/>
        <family val="0"/>
        <charset val="1"/>
      </rPr>
      <t xml:space="preserve">)</t>
    </r>
  </si>
  <si>
    <t xml:space="preserve">← 실질 월 비용</t>
  </si>
  <si>
    <t xml:space="preserve">③ 연 운영비</t>
  </si>
  <si>
    <r>
      <rPr>
        <b val="true"/>
        <sz val="10"/>
        <color rgb="FF000000"/>
        <rFont val="Noto Sans CJK SC"/>
        <family val="2"/>
      </rPr>
      <t xml:space="preserve">연 발송비 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부가세 포함</t>
    </r>
    <r>
      <rPr>
        <b val="true"/>
        <sz val="10"/>
        <color rgb="FF000000"/>
        <rFont val="Malgun Gothic"/>
        <family val="0"/>
        <charset val="1"/>
      </rPr>
      <t xml:space="preserve">)</t>
    </r>
  </si>
  <si>
    <r>
      <rPr>
        <b val="true"/>
        <sz val="10"/>
        <color rgb="FF334155"/>
        <rFont val="Noto Sans CJK SC"/>
        <family val="2"/>
      </rPr>
      <t xml:space="preserve">④ 일회성</t>
    </r>
    <r>
      <rPr>
        <b val="true"/>
        <sz val="10"/>
        <color rgb="FF334155"/>
        <rFont val="Malgun Gothic"/>
        <family val="0"/>
        <charset val="1"/>
      </rPr>
      <t xml:space="preserve">·</t>
    </r>
    <r>
      <rPr>
        <b val="true"/>
        <sz val="10"/>
        <color rgb="FF334155"/>
        <rFont val="Noto Sans CJK SC"/>
        <family val="2"/>
      </rPr>
      <t xml:space="preserve">셋업 비용</t>
    </r>
  </si>
  <si>
    <t xml:space="preserve">카카오 비즈니스 채널 개설</t>
  </si>
  <si>
    <t xml:space="preserve">무료</t>
  </si>
  <si>
    <t xml:space="preserve">솔라피 회원가입</t>
  </si>
  <si>
    <t xml:space="preserve">솔라피 월 기본료</t>
  </si>
  <si>
    <t xml:space="preserve">베이직 플랜 무료</t>
  </si>
  <si>
    <r>
      <rPr>
        <sz val="10"/>
        <color rgb="FF000000"/>
        <rFont val="Noto Sans CJK SC"/>
        <family val="2"/>
      </rPr>
      <t xml:space="preserve">자체 개발 </t>
    </r>
    <r>
      <rPr>
        <sz val="10"/>
        <color rgb="FF000000"/>
        <rFont val="Malgun Gothic"/>
        <family val="0"/>
        <charset val="1"/>
      </rPr>
      <t xml:space="preserve">(Claude Code)</t>
    </r>
  </si>
  <si>
    <t xml:space="preserve">외주비 없음</t>
  </si>
  <si>
    <t xml:space="preserve">셋업 비용 합계</t>
  </si>
  <si>
    <t xml:space="preserve">⑤ 권장 초기 충전액</t>
  </si>
  <si>
    <r>
      <rPr>
        <sz val="9"/>
        <color rgb="FF64748B"/>
        <rFont val="Noto Sans CJK SC"/>
        <family val="2"/>
      </rPr>
      <t xml:space="preserve">솔라피는 선불 충전식이에요</t>
    </r>
    <r>
      <rPr>
        <sz val="9"/>
        <color rgb="FF64748B"/>
        <rFont val="Malgun Gothic"/>
        <family val="0"/>
        <charset val="1"/>
      </rPr>
      <t xml:space="preserve">. </t>
    </r>
    <r>
      <rPr>
        <sz val="9"/>
        <color rgb="FF64748B"/>
        <rFont val="Noto Sans CJK SC"/>
        <family val="2"/>
      </rPr>
      <t xml:space="preserve">아래는 추가 비용이 아니라</t>
    </r>
    <r>
      <rPr>
        <sz val="9"/>
        <color rgb="FF64748B"/>
        <rFont val="Malgun Gothic"/>
        <family val="0"/>
        <charset val="1"/>
      </rPr>
      <t xml:space="preserve">, </t>
    </r>
    <r>
      <rPr>
        <sz val="9"/>
        <color rgb="FF64748B"/>
        <rFont val="Noto Sans CJK SC"/>
        <family val="2"/>
      </rPr>
      <t xml:space="preserve">지갑에 미리 넣어두는 발송비</t>
    </r>
    <r>
      <rPr>
        <sz val="9"/>
        <color rgb="FF64748B"/>
        <rFont val="Malgun Gothic"/>
        <family val="0"/>
        <charset val="1"/>
      </rPr>
      <t xml:space="preserve">(</t>
    </r>
    <r>
      <rPr>
        <sz val="9"/>
        <color rgb="FF64748B"/>
        <rFont val="Noto Sans CJK SC"/>
        <family val="2"/>
      </rPr>
      <t xml:space="preserve">약 </t>
    </r>
    <r>
      <rPr>
        <sz val="9"/>
        <color rgb="FF64748B"/>
        <rFont val="Malgun Gothic"/>
        <family val="0"/>
        <charset val="1"/>
      </rPr>
      <t xml:space="preserve">2</t>
    </r>
    <r>
      <rPr>
        <sz val="9"/>
        <color rgb="FF64748B"/>
        <rFont val="Noto Sans CJK SC"/>
        <family val="2"/>
      </rPr>
      <t xml:space="preserve">개월치</t>
    </r>
    <r>
      <rPr>
        <sz val="9"/>
        <color rgb="FF64748B"/>
        <rFont val="Malgun Gothic"/>
        <family val="0"/>
        <charset val="1"/>
      </rPr>
      <t xml:space="preserve">)</t>
    </r>
    <r>
      <rPr>
        <sz val="9"/>
        <color rgb="FF64748B"/>
        <rFont val="Noto Sans CJK SC"/>
        <family val="2"/>
      </rPr>
      <t xml:space="preserve">예요</t>
    </r>
    <r>
      <rPr>
        <sz val="9"/>
        <color rgb="FF64748B"/>
        <rFont val="Malgun Gothic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</si>
  <si>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권장 초기 충전 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Malgun Gothic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개월치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</si>
  <si>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b val="true"/>
        <sz val="10"/>
        <color rgb="FF334155"/>
        <rFont val="Noto Sans CJK SC"/>
        <family val="2"/>
      </rPr>
      <t xml:space="preserve">⑥ 학생 수가 늘면</t>
    </r>
    <r>
      <rPr>
        <b val="true"/>
        <sz val="10"/>
        <color rgb="FF334155"/>
        <rFont val="Malgun Gothic"/>
        <family val="0"/>
        <charset val="1"/>
      </rPr>
      <t xml:space="preserve">?  (1</t>
    </r>
    <r>
      <rPr>
        <b val="true"/>
        <sz val="10"/>
        <color rgb="FF334155"/>
        <rFont val="Noto Sans CJK SC"/>
        <family val="2"/>
      </rPr>
      <t xml:space="preserve">인당 </t>
    </r>
    <r>
      <rPr>
        <b val="true"/>
        <sz val="10"/>
        <color rgb="FF334155"/>
        <rFont val="Malgun Gothic"/>
        <family val="0"/>
        <charset val="1"/>
      </rPr>
      <t xml:space="preserve">2</t>
    </r>
    <r>
      <rPr>
        <b val="true"/>
        <sz val="10"/>
        <color rgb="FF334155"/>
        <rFont val="Noto Sans CJK SC"/>
        <family val="2"/>
      </rPr>
      <t xml:space="preserve">회</t>
    </r>
    <r>
      <rPr>
        <b val="true"/>
        <sz val="10"/>
        <color rgb="FF334155"/>
        <rFont val="Malgun Gothic"/>
        <family val="0"/>
        <charset val="1"/>
      </rPr>
      <t xml:space="preserve">·</t>
    </r>
    <r>
      <rPr>
        <b val="true"/>
        <sz val="10"/>
        <color rgb="FF334155"/>
        <rFont val="Noto Sans CJK SC"/>
        <family val="2"/>
      </rPr>
      <t xml:space="preserve">월 운영일수</t>
    </r>
    <r>
      <rPr>
        <b val="true"/>
        <sz val="10"/>
        <color rgb="FF334155"/>
        <rFont val="Malgun Gothic"/>
        <family val="0"/>
        <charset val="1"/>
      </rPr>
      <t xml:space="preserve">·</t>
    </r>
    <r>
      <rPr>
        <b val="true"/>
        <sz val="10"/>
        <color rgb="FF334155"/>
        <rFont val="Noto Sans CJK SC"/>
        <family val="2"/>
      </rPr>
      <t xml:space="preserve">단가는 위 가정과 동일</t>
    </r>
    <r>
      <rPr>
        <b val="true"/>
        <sz val="10"/>
        <color rgb="FF334155"/>
        <rFont val="Malgun Gothic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</si>
  <si>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학생 수</t>
    </r>
    <r>
      <rPr>
        <b val="true"/>
        <sz val="9"/>
        <color rgb="FFFFFFFF"/>
        <rFont val="Malgun Gothic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명</t>
    </r>
    <r>
      <rPr>
        <b val="true"/>
        <sz val="9"/>
        <color rgb="FFFFFFFF"/>
        <rFont val="Malgun Gothic"/>
        <family val="0"/>
        <charset val="1"/>
      </rPr>
      <t xml:space="preserve">)</t>
    </r>
  </si>
  <si>
    <t xml:space="preserve">월 발송건수</t>
  </si>
  <si>
    <r>
      <rPr>
        <b val="true"/>
        <sz val="9"/>
        <color rgb="FFFFFFFF"/>
        <rFont val="Noto Sans CJK SC"/>
        <family val="2"/>
      </rPr>
      <t xml:space="preserve">월 비용</t>
    </r>
    <r>
      <rPr>
        <b val="true"/>
        <sz val="9"/>
        <color rgb="FFFFFFFF"/>
        <rFont val="Malgun Gothic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부가세 포함</t>
    </r>
    <r>
      <rPr>
        <b val="true"/>
        <sz val="9"/>
        <color rgb="FFFFFFFF"/>
        <rFont val="Malgun Gothic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</si>
  <si>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연 비용</t>
    </r>
    <r>
      <rPr>
        <b val="true"/>
        <sz val="9"/>
        <color rgb="FFFFFFFF"/>
        <rFont val="Malgun Gothic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부가세 포함</t>
    </r>
    <r>
      <rPr>
        <b val="true"/>
        <sz val="9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</si>
  <si>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334155"/>
        <rFont val="Noto Sans CJK SC"/>
        <family val="2"/>
      </rPr>
      <t xml:space="preserve">⑦ 업체 단가별 비교  </t>
    </r>
    <r>
      <rPr>
        <b val="true"/>
        <sz val="10"/>
        <color rgb="FF334155"/>
        <rFont val="Malgun Gothic"/>
        <family val="0"/>
        <charset val="1"/>
      </rPr>
      <t xml:space="preserve">(</t>
    </r>
    <r>
      <rPr>
        <b val="true"/>
        <sz val="10"/>
        <color rgb="FF334155"/>
        <rFont val="Noto Sans CJK SC"/>
        <family val="2"/>
      </rPr>
      <t xml:space="preserve">현재 학생 수 기준</t>
    </r>
    <r>
      <rPr>
        <b val="true"/>
        <sz val="10"/>
        <color rgb="FF334155"/>
        <rFont val="Malgun Gothic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</si>
  <si>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저렴 업체 가정 단가 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부가세 별도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</si>
  <si>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예시</t>
  </si>
  <si>
    <t xml:space="preserve">구분</t>
  </si>
  <si>
    <r>
      <rPr>
        <sz val="10"/>
        <color rgb="FF000000"/>
        <rFont val="Noto Sans CJK SC"/>
        <family val="2"/>
      </rPr>
      <t xml:space="preserve">현재 단가 기준 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솔라피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</si>
  <si>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저렴 업체 기준 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예시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</si>
  <si>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절감액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</si>
</sst>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\원"/>
    <numFmt numFmtId="166" formatCode="#,##0"/>
    <numFmt numFmtId="167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sz val="9"/>
      <color rgb="FF64748B"/>
      <name val="Noto Sans CJK SC"/>
      <family val="2"/>
    </font>
    <font>
      <sz val="9"/>
      <color rgb="FF64748B"/>
      <name val="Malgun Gothic"/>
      <family val="0"/>
      <charset val="1"/>
    </font>
    <font>
      <b val="true"/>
      <sz val="10"/>
      <color rgb="FF334155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Malgun Gothic"/>
      <family val="0"/>
      <charset val="1"/>
    </font>
    <font>
      <b val="true"/>
      <sz val="12"/>
      <color rgb="FF1D4ED8"/>
      <name val="Malgun Gothic"/>
      <family val="0"/>
      <charset val="1"/>
    </font>
    <font>
      <b val="true"/>
      <sz val="10"/>
      <color rgb="FF334155"/>
      <name val="Malgun Gothic"/>
      <family val="0"/>
      <charset val="1"/>
    </font>
    <font>
      <sz val="10"/>
      <color rgb="FF000000"/>
      <name val="Noto Sans CJK SC"/>
      <family val="2"/>
    </font>
    <font>
      <b val="true"/>
      <sz val="10"/>
      <color rgb="FF0000FF"/>
      <name val="Malgun Gothic"/>
      <family val="0"/>
      <charset val="1"/>
    </font>
    <font>
      <sz val="10"/>
      <color rgb="FF000000"/>
      <name val="Malgun Gothic"/>
      <family val="0"/>
      <charset val="1"/>
    </font>
    <font>
      <sz val="9"/>
      <color rgb="FF1D4ED8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9"/>
      <color rgb="FFFFFFFF"/>
      <name val="Malgun Gothic"/>
      <family val="0"/>
      <charset val="1"/>
    </font>
    <font>
      <sz val="10"/>
      <color rgb="FF0000FF"/>
      <name val="Malgun Gothic"/>
      <family val="0"/>
      <charset val="1"/>
    </font>
    <font>
      <b val="true"/>
      <sz val="10"/>
      <color rgb="FF047857"/>
      <name val="Noto Sans CJK SC"/>
      <family val="2"/>
    </font>
    <font>
      <b val="true"/>
      <sz val="10"/>
      <color rgb="FF047857"/>
      <name val="Malgun Gothi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34155"/>
        <bgColor rgb="FF333399"/>
      </patternFill>
    </fill>
    <fill>
      <patternFill patternType="solid">
        <fgColor rgb="FFE2E8F0"/>
        <bgColor rgb="FFDCEAF7"/>
      </patternFill>
    </fill>
    <fill>
      <patternFill patternType="solid">
        <fgColor rgb="FFDCEAF7"/>
        <bgColor rgb="FFE2E8F0"/>
      </patternFill>
    </fill>
    <fill>
      <patternFill patternType="solid">
        <fgColor rgb="FFFFF3B0"/>
        <bgColor rgb="FFFFFFCC"/>
      </patternFill>
    </fill>
    <fill>
      <patternFill patternType="solid">
        <fgColor rgb="FF64748B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4.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9.4" hidden="false" customHeight="false" outlineLevel="0" collapsed="false">
      <c r="A5" s="4" t="s">
        <v>3</v>
      </c>
      <c r="B5" s="5" t="n">
        <f aca="false">B20</f>
        <v>18876</v>
      </c>
    </row>
    <row r="6" customFormat="false" ht="19.4" hidden="false" customHeight="false" outlineLevel="0" collapsed="false">
      <c r="A6" s="4" t="s">
        <v>4</v>
      </c>
      <c r="B6" s="5" t="n">
        <f aca="false">B23</f>
        <v>226512</v>
      </c>
    </row>
    <row r="8" customFormat="false" ht="15" hidden="false" customHeight="false" outlineLevel="0" collapsed="false">
      <c r="A8" s="3" t="s">
        <v>5</v>
      </c>
      <c r="B8" s="3"/>
      <c r="C8" s="3"/>
      <c r="D8" s="3"/>
    </row>
    <row r="9" customFormat="false" ht="15" hidden="false" customHeight="false" outlineLevel="0" collapsed="false">
      <c r="A9" s="6" t="s">
        <v>6</v>
      </c>
      <c r="B9" s="7" t="n">
        <v>30</v>
      </c>
      <c r="C9" s="8" t="s">
        <v>7</v>
      </c>
    </row>
    <row r="10" customFormat="false" ht="15" hidden="false" customHeight="false" outlineLevel="0" collapsed="false">
      <c r="A10" s="9" t="s">
        <v>8</v>
      </c>
      <c r="B10" s="7" t="n">
        <v>2</v>
      </c>
      <c r="C10" s="8" t="s">
        <v>9</v>
      </c>
    </row>
    <row r="11" customFormat="false" ht="15" hidden="false" customHeight="false" outlineLevel="0" collapsed="false">
      <c r="A11" s="6" t="s">
        <v>10</v>
      </c>
      <c r="B11" s="7" t="n">
        <v>22</v>
      </c>
      <c r="C11" s="8" t="s">
        <v>11</v>
      </c>
    </row>
    <row r="12" customFormat="false" ht="15" hidden="false" customHeight="false" outlineLevel="0" collapsed="false">
      <c r="A12" s="6" t="s">
        <v>12</v>
      </c>
      <c r="B12" s="10" t="n">
        <v>13</v>
      </c>
      <c r="C12" s="8" t="s">
        <v>13</v>
      </c>
    </row>
    <row r="13" customFormat="false" ht="15" hidden="false" customHeight="false" outlineLevel="0" collapsed="false">
      <c r="A13" s="6" t="s">
        <v>14</v>
      </c>
      <c r="B13" s="11" t="n">
        <v>0.1</v>
      </c>
      <c r="C13" s="8"/>
    </row>
    <row r="15" customFormat="false" ht="15" hidden="false" customHeight="false" outlineLevel="0" collapsed="false">
      <c r="A15" s="3" t="s">
        <v>15</v>
      </c>
      <c r="B15" s="3"/>
      <c r="C15" s="3"/>
      <c r="D15" s="3"/>
    </row>
    <row r="16" customFormat="false" ht="15" hidden="false" customHeight="false" outlineLevel="0" collapsed="false">
      <c r="A16" s="6" t="s">
        <v>16</v>
      </c>
      <c r="B16" s="12" t="n">
        <f aca="false">B9*B10</f>
        <v>60</v>
      </c>
      <c r="C16" s="8" t="s">
        <v>17</v>
      </c>
    </row>
    <row r="17" customFormat="false" ht="15" hidden="false" customHeight="false" outlineLevel="0" collapsed="false">
      <c r="A17" s="6" t="s">
        <v>18</v>
      </c>
      <c r="B17" s="12" t="n">
        <f aca="false">B16*B11</f>
        <v>1320</v>
      </c>
      <c r="C17" s="8" t="s">
        <v>17</v>
      </c>
    </row>
    <row r="18" customFormat="false" ht="15" hidden="false" customHeight="false" outlineLevel="0" collapsed="false">
      <c r="A18" s="6" t="s">
        <v>19</v>
      </c>
      <c r="B18" s="13" t="n">
        <f aca="false">B17*B12</f>
        <v>17160</v>
      </c>
      <c r="C18" s="8"/>
    </row>
    <row r="19" customFormat="false" ht="15" hidden="false" customHeight="false" outlineLevel="0" collapsed="false">
      <c r="A19" s="6" t="s">
        <v>20</v>
      </c>
      <c r="B19" s="13" t="n">
        <f aca="false">B18*B13</f>
        <v>1716</v>
      </c>
      <c r="C19" s="8"/>
    </row>
    <row r="20" customFormat="false" ht="15" hidden="false" customHeight="false" outlineLevel="0" collapsed="false">
      <c r="A20" s="4" t="s">
        <v>21</v>
      </c>
      <c r="B20" s="14" t="n">
        <f aca="false">B18+B19</f>
        <v>18876</v>
      </c>
      <c r="C20" s="15" t="s">
        <v>22</v>
      </c>
    </row>
    <row r="22" customFormat="false" ht="15" hidden="false" customHeight="false" outlineLevel="0" collapsed="false">
      <c r="A22" s="3" t="s">
        <v>23</v>
      </c>
      <c r="B22" s="3"/>
      <c r="C22" s="3"/>
      <c r="D22" s="3"/>
    </row>
    <row r="23" customFormat="false" ht="15" hidden="false" customHeight="false" outlineLevel="0" collapsed="false">
      <c r="A23" s="4" t="s">
        <v>24</v>
      </c>
      <c r="B23" s="14" t="n">
        <f aca="false">B20*12</f>
        <v>226512</v>
      </c>
    </row>
    <row r="25" customFormat="false" ht="15" hidden="false" customHeight="false" outlineLevel="0" collapsed="false">
      <c r="A25" s="3" t="s">
        <v>25</v>
      </c>
      <c r="B25" s="3"/>
      <c r="C25" s="3"/>
      <c r="D25" s="3"/>
    </row>
    <row r="26" customFormat="false" ht="15" hidden="false" customHeight="false" outlineLevel="0" collapsed="false">
      <c r="A26" s="6" t="s">
        <v>26</v>
      </c>
      <c r="B26" s="16" t="n">
        <v>0</v>
      </c>
      <c r="C26" s="8" t="s">
        <v>27</v>
      </c>
    </row>
    <row r="27" customFormat="false" ht="15" hidden="false" customHeight="false" outlineLevel="0" collapsed="false">
      <c r="A27" s="6" t="s">
        <v>28</v>
      </c>
      <c r="B27" s="16" t="n">
        <v>0</v>
      </c>
      <c r="C27" s="8" t="s">
        <v>27</v>
      </c>
    </row>
    <row r="28" customFormat="false" ht="15" hidden="false" customHeight="false" outlineLevel="0" collapsed="false">
      <c r="A28" s="6" t="s">
        <v>29</v>
      </c>
      <c r="B28" s="16" t="n">
        <v>0</v>
      </c>
      <c r="C28" s="8" t="s">
        <v>30</v>
      </c>
    </row>
    <row r="29" customFormat="false" ht="15" hidden="false" customHeight="false" outlineLevel="0" collapsed="false">
      <c r="A29" s="6" t="s">
        <v>31</v>
      </c>
      <c r="B29" s="16" t="n">
        <v>0</v>
      </c>
      <c r="C29" s="8" t="s">
        <v>32</v>
      </c>
    </row>
    <row r="30" customFormat="false" ht="15" hidden="false" customHeight="false" outlineLevel="0" collapsed="false">
      <c r="A30" s="4" t="s">
        <v>33</v>
      </c>
      <c r="B30" s="17" t="n">
        <f aca="false">SUM(B26:B29)</f>
        <v>0</v>
      </c>
    </row>
    <row r="32" customFormat="false" ht="15" hidden="false" customHeight="false" outlineLevel="0" collapsed="false">
      <c r="A32" s="3" t="s">
        <v>34</v>
      </c>
      <c r="B32" s="3"/>
      <c r="C32" s="3"/>
      <c r="D32" s="3"/>
    </row>
    <row r="33" customFormat="false" ht="14.15" hidden="false" customHeight="false" outlineLevel="0" collapsed="false">
      <c r="A33" s="18" t="s">
        <v>35</v>
      </c>
      <c r="B33" s="18"/>
      <c r="C33" s="18"/>
      <c r="D33" s="18"/>
    </row>
    <row r="34" customFormat="false" ht="15" hidden="false" customHeight="false" outlineLevel="0" collapsed="false">
      <c r="A34" s="6" t="s">
        <v>36</v>
      </c>
      <c r="B34" s="16" t="n">
        <f aca="false">ROUNDUP(B20*2,-3)</f>
        <v>38000</v>
      </c>
    </row>
    <row r="36" customFormat="false" ht="15" hidden="false" customHeight="false" outlineLevel="0" collapsed="false">
      <c r="A36" s="3" t="s">
        <v>37</v>
      </c>
      <c r="B36" s="3"/>
      <c r="C36" s="3"/>
      <c r="D36" s="3"/>
    </row>
    <row r="37" customFormat="false" ht="15" hidden="false" customHeight="false" outlineLevel="0" collapsed="false">
      <c r="A37" s="19" t="s">
        <v>38</v>
      </c>
      <c r="B37" s="19" t="s">
        <v>39</v>
      </c>
      <c r="C37" s="19" t="s">
        <v>40</v>
      </c>
      <c r="D37" s="19" t="s">
        <v>41</v>
      </c>
    </row>
    <row r="38" customFormat="false" ht="15" hidden="false" customHeight="false" outlineLevel="0" collapsed="false">
      <c r="A38" s="20" t="n">
        <v>30</v>
      </c>
      <c r="B38" s="21" t="n">
        <f aca="false">A38*$B$10*$B$11</f>
        <v>1320</v>
      </c>
      <c r="C38" s="22" t="n">
        <f aca="false">B38*$B$12*(1+$B$13)</f>
        <v>18876</v>
      </c>
      <c r="D38" s="22" t="n">
        <f aca="false">C38*12</f>
        <v>226512</v>
      </c>
    </row>
    <row r="39" customFormat="false" ht="15" hidden="false" customHeight="false" outlineLevel="0" collapsed="false">
      <c r="A39" s="20" t="n">
        <v>50</v>
      </c>
      <c r="B39" s="21" t="n">
        <f aca="false">A39*$B$10*$B$11</f>
        <v>2200</v>
      </c>
      <c r="C39" s="22" t="n">
        <f aca="false">B39*$B$12*(1+$B$13)</f>
        <v>31460</v>
      </c>
      <c r="D39" s="22" t="n">
        <f aca="false">C39*12</f>
        <v>377520</v>
      </c>
    </row>
    <row r="40" customFormat="false" ht="15" hidden="false" customHeight="false" outlineLevel="0" collapsed="false">
      <c r="A40" s="20" t="n">
        <v>80</v>
      </c>
      <c r="B40" s="21" t="n">
        <f aca="false">A40*$B$10*$B$11</f>
        <v>3520</v>
      </c>
      <c r="C40" s="22" t="n">
        <f aca="false">B40*$B$12*(1+$B$13)</f>
        <v>50336</v>
      </c>
      <c r="D40" s="22" t="n">
        <f aca="false">C40*12</f>
        <v>604032</v>
      </c>
    </row>
    <row r="41" customFormat="false" ht="15" hidden="false" customHeight="false" outlineLevel="0" collapsed="false">
      <c r="A41" s="20" t="n">
        <v>100</v>
      </c>
      <c r="B41" s="21" t="n">
        <f aca="false">A41*$B$10*$B$11</f>
        <v>4400</v>
      </c>
      <c r="C41" s="22" t="n">
        <f aca="false">B41*$B$12*(1+$B$13)</f>
        <v>62920</v>
      </c>
      <c r="D41" s="22" t="n">
        <f aca="false">C41*12</f>
        <v>755040</v>
      </c>
    </row>
    <row r="43" customFormat="false" ht="15" hidden="false" customHeight="false" outlineLevel="0" collapsed="false">
      <c r="A43" s="3" t="s">
        <v>42</v>
      </c>
      <c r="B43" s="3"/>
      <c r="C43" s="3"/>
      <c r="D43" s="3"/>
    </row>
    <row r="44" customFormat="false" ht="15" hidden="false" customHeight="false" outlineLevel="0" collapsed="false">
      <c r="A44" s="6" t="s">
        <v>43</v>
      </c>
      <c r="B44" s="10" t="n">
        <v>9</v>
      </c>
      <c r="C44" s="8" t="s">
        <v>44</v>
      </c>
    </row>
    <row r="45" customFormat="false" ht="15" hidden="false" customHeight="false" outlineLevel="0" collapsed="false">
      <c r="A45" s="19" t="s">
        <v>45</v>
      </c>
      <c r="B45" s="19" t="s">
        <v>40</v>
      </c>
      <c r="C45" s="19" t="s">
        <v>41</v>
      </c>
    </row>
    <row r="46" customFormat="false" ht="15" hidden="false" customHeight="false" outlineLevel="0" collapsed="false">
      <c r="A46" s="23" t="s">
        <v>46</v>
      </c>
      <c r="B46" s="22" t="n">
        <f aca="false">$B$17*$B$12*(1+$B$13)</f>
        <v>18876</v>
      </c>
      <c r="C46" s="22" t="n">
        <f aca="false">B46*12</f>
        <v>226512</v>
      </c>
    </row>
    <row r="47" customFormat="false" ht="15" hidden="false" customHeight="false" outlineLevel="0" collapsed="false">
      <c r="A47" s="23" t="s">
        <v>47</v>
      </c>
      <c r="B47" s="22" t="n">
        <f aca="false">$B$17*$B$44*(1+$B$13)</f>
        <v>13068</v>
      </c>
      <c r="C47" s="22" t="n">
        <f aca="false">B47*12</f>
        <v>156816</v>
      </c>
    </row>
    <row r="48" customFormat="false" ht="15" hidden="false" customHeight="false" outlineLevel="0" collapsed="false">
      <c r="A48" s="24" t="s">
        <v>48</v>
      </c>
      <c r="B48" s="25" t="n">
        <f aca="false">B46-B47</f>
        <v>5808</v>
      </c>
      <c r="C48" s="25" t="n">
        <f aca="false">C46-C47</f>
        <v>69696</v>
      </c>
    </row>
  </sheetData>
  <mergeCells count="11">
    <mergeCell ref="A1:D1"/>
    <mergeCell ref="A2:D2"/>
    <mergeCell ref="A4:D4"/>
    <mergeCell ref="A8:D8"/>
    <mergeCell ref="A15:D15"/>
    <mergeCell ref="A22:D22"/>
    <mergeCell ref="A25:D25"/>
    <mergeCell ref="A32:D32"/>
    <mergeCell ref="A33:D33"/>
    <mergeCell ref="A36:D36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2026-06-16T15:29:21Z</dcterms:created>
  <dc:creator>openpyxl</dc:creator>
  <dc:description/>
  <dc:language>en-US</dc:language>
  <cp:lastModifiedBy/>
  <dcterms:modified xsi:type="dcterms:W3CDTF">2026-06-16T15:29:21Z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